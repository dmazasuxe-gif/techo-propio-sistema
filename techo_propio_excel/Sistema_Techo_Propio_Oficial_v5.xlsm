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istema-TechoPropio\techo_propio_excel\"/>
    </mc:Choice>
  </mc:AlternateContent>
  <xr:revisionPtr revIDLastSave="0" documentId="13_ncr:1_{D0D17479-C6DF-48B1-B8D9-C10B2E7BDB4E}" xr6:coauthVersionLast="47" xr6:coauthVersionMax="47" xr10:uidLastSave="{00000000-0000-0000-0000-000000000000}"/>
  <bookViews>
    <workbookView xWindow="-108" yWindow="-108" windowWidth="23256" windowHeight="12456" tabRatio="718" activeTab="3" xr2:uid="{00000000-000D-0000-FFFF-FFFF00000000}"/>
  </bookViews>
  <sheets>
    <sheet name="PANEL_CONTROL" sheetId="1" r:id="rId1"/>
    <sheet name="CONFIGURACION" sheetId="2" r:id="rId2"/>
    <sheet name="BD_UBICACIONES" sheetId="3" r:id="rId3"/>
    <sheet name="BD_BENEFICIARIOS" sheetId="4" r:id="rId4"/>
    <sheet name="BD_CARGA_FAMILIAR" sheetId="5" r:id="rId5"/>
    <sheet name="REPORTES_DASHBOARD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6" l="1"/>
  <c r="B6" i="6"/>
  <c r="B5" i="6"/>
  <c r="G5" i="1"/>
  <c r="E5" i="1"/>
  <c r="C5" i="1"/>
  <c r="A5" i="1"/>
  <c r="C5" i="6" l="1"/>
  <c r="C7" i="6"/>
  <c r="C6" i="6"/>
</calcChain>
</file>

<file path=xl/sharedStrings.xml><?xml version="1.0" encoding="utf-8"?>
<sst xmlns="http://schemas.openxmlformats.org/spreadsheetml/2006/main" count="113" uniqueCount="93">
  <si>
    <t>TOTAL BENEFICIARIOS</t>
  </si>
  <si>
    <t>CARGA FAMILIAR TOTAL</t>
  </si>
  <si>
    <t>UBICACIONES ACTIVAS</t>
  </si>
  <si>
    <t>PENDIENTES SINCRONIZAR</t>
  </si>
  <si>
    <t>📍 GESTIÓN DE UBICACIONES / PROYECTOS
Administrar zonas y distritos registrados</t>
  </si>
  <si>
    <t>📊 REPORTES Y DASHBOARD
Ver estadísticas de avance y gráficos</t>
  </si>
  <si>
    <t>👥 BASE DE DATOS BENEFICIARIOS
Ver tabla completa de titulares registrados</t>
  </si>
  <si>
    <t>👨‍👩‍👧‍👦 BASE DE CARGA FAMILIAR
Ver tabla completa de miembros del grupo familiar</t>
  </si>
  <si>
    <t>PARÁMETROS DEL SISTEMA</t>
  </si>
  <si>
    <t>Parametro</t>
  </si>
  <si>
    <t>Valor</t>
  </si>
  <si>
    <t>Descripcion</t>
  </si>
  <si>
    <t>Ultimo_ID_Beneficiario</t>
  </si>
  <si>
    <t>Contador correlativo de Beneficiarios</t>
  </si>
  <si>
    <t>Ultimo_ID_Familiar</t>
  </si>
  <si>
    <t>Contador correlativo de Carga Familiar</t>
  </si>
  <si>
    <t>Ultimo_ID_Ubicacion</t>
  </si>
  <si>
    <t>Contador correlativo de Ubicaciones / Proyectos</t>
  </si>
  <si>
    <t>Version_Sistema</t>
  </si>
  <si>
    <t>4.0 Pro</t>
  </si>
  <si>
    <t>Versión del sistema Excel</t>
  </si>
  <si>
    <t>Entidad_Tecnica</t>
  </si>
  <si>
    <t>Constructora Masquiros</t>
  </si>
  <si>
    <t>Entidad Técnica Registrada</t>
  </si>
  <si>
    <t>BASE DE DATOS - UBICACIONES Y PROYECTOS</t>
  </si>
  <si>
    <t>ID_Ubicacion</t>
  </si>
  <si>
    <t>Nombre</t>
  </si>
  <si>
    <t>Departamento</t>
  </si>
  <si>
    <t>Provincia</t>
  </si>
  <si>
    <t>Estado</t>
  </si>
  <si>
    <t>Fecha_Creacion</t>
  </si>
  <si>
    <t>UB-001</t>
  </si>
  <si>
    <t>JEPELACIO</t>
  </si>
  <si>
    <t>San Martín</t>
  </si>
  <si>
    <t>Moyobamba</t>
  </si>
  <si>
    <t>Activo</t>
  </si>
  <si>
    <t>25/08/2026</t>
  </si>
  <si>
    <t>UB-002</t>
  </si>
  <si>
    <t>MOYOBAMBA</t>
  </si>
  <si>
    <t>UB-003</t>
  </si>
  <si>
    <t>SORITOR</t>
  </si>
  <si>
    <t>BASE DE DATOS MAESTRA - BENEFICIARIOS TECHO PROPIO</t>
  </si>
  <si>
    <t>ID_Beneficiario</t>
  </si>
  <si>
    <t>DNI</t>
  </si>
  <si>
    <t>Nombres</t>
  </si>
  <si>
    <t>Apellido_Paterno</t>
  </si>
  <si>
    <t>Apellido_Materno</t>
  </si>
  <si>
    <t>Fecha_Nacimiento</t>
  </si>
  <si>
    <t>Estado_Civil</t>
  </si>
  <si>
    <t>Celular</t>
  </si>
  <si>
    <t>Distrito</t>
  </si>
  <si>
    <t>Centro_Poblado</t>
  </si>
  <si>
    <t>Barrio_Sector</t>
  </si>
  <si>
    <t>Calle</t>
  </si>
  <si>
    <t>Manzana</t>
  </si>
  <si>
    <t>Lote</t>
  </si>
  <si>
    <t>Coordenada_X</t>
  </si>
  <si>
    <t>Coordenada_Y</t>
  </si>
  <si>
    <t>Direccion</t>
  </si>
  <si>
    <t>Estado_Sincronizacion</t>
  </si>
  <si>
    <t>Fecha_Sincronizacion</t>
  </si>
  <si>
    <t>TP-BEN-000001</t>
  </si>
  <si>
    <t>Jepelacio</t>
  </si>
  <si>
    <t>BASE DE DATOS - CARGA FAMILIAR</t>
  </si>
  <si>
    <t>ID_Familiar</t>
  </si>
  <si>
    <t>Parentesco</t>
  </si>
  <si>
    <t>Apellidos</t>
  </si>
  <si>
    <t>TP-FAM-000001</t>
  </si>
  <si>
    <t>Hijo(a)</t>
  </si>
  <si>
    <t>87654321</t>
  </si>
  <si>
    <t>Luis</t>
  </si>
  <si>
    <t>Perez Rojas</t>
  </si>
  <si>
    <t>10/10/2010</t>
  </si>
  <si>
    <t>DASHBOARD ESTADÍSTICO - BENEFICIARIOS TECHO PROPIO</t>
  </si>
  <si>
    <t>DISTRIBUCIÓN POR UBICACIÓN</t>
  </si>
  <si>
    <t>Ubicación</t>
  </si>
  <si>
    <t>Beneficiarios</t>
  </si>
  <si>
    <t>% Total</t>
  </si>
  <si>
    <t xml:space="preserve">YOAR </t>
  </si>
  <si>
    <t xml:space="preserve">MAZA </t>
  </si>
  <si>
    <t>SUXE</t>
  </si>
  <si>
    <t>30-09-1998</t>
  </si>
  <si>
    <t>Soltero(a)</t>
  </si>
  <si>
    <t>BARRIO MIRAFLORES</t>
  </si>
  <si>
    <t>JR.MOYOBAMBA</t>
  </si>
  <si>
    <t>JR.MOYOBAMBA Mz. 18 Lt. 4</t>
  </si>
  <si>
    <t>SINCRONIZADO</t>
  </si>
  <si>
    <t>Area Total</t>
  </si>
  <si>
    <t>Por el Frente</t>
  </si>
  <si>
    <t xml:space="preserve">Por la Derecha </t>
  </si>
  <si>
    <t>Por la Izquierda</t>
  </si>
  <si>
    <t>Por el Fondo</t>
  </si>
  <si>
    <t>Partida Registral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</si>
</sst>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8" x14ac:knownFonts="1">
    <font>
      <sz val="11"/>
      <color theme="1"/>
      <name val="Calibri"/>
      <family val="2"/>
      <scheme val="minor"/>
    </font>
    <font>
      <b/>
      <sz val="15"/>
      <color rgb="FFFFFFFF"/>
      <name val="Segoe UI"/>
    </font>
    <font>
      <b/>
      <sz val="9"/>
      <color rgb="FF595959"/>
      <name val="Segoe UI"/>
    </font>
    <font>
      <b/>
      <sz val="18"/>
      <color rgb="FF1B365D"/>
      <name val="Segoe UI"/>
    </font>
    <font>
      <b/>
      <sz val="11"/>
      <color rgb="FFFFFFFF"/>
      <name val="Segoe UI"/>
    </font>
    <font>
      <b/>
      <sz val="10"/>
      <color rgb="FFFFFFFF"/>
      <name val="Segoe UI"/>
    </font>
    <font>
      <b/>
      <sz val="10"/>
      <color rgb="FF1B365D"/>
      <name val="Segoe UI"/>
    </font>
    <font>
      <sz val="10"/>
      <color rgb="FF000000"/>
      <name val="Segoe UI"/>
    </font>
  </fonts>
  <fills count="7">
    <fill>
      <patternFill patternType="none"/>
    </fill>
    <fill>
      <patternFill patternType="gray125"/>
    </fill>
    <fill>
      <patternFill patternType="solid">
        <fgColor rgb="FF1B365D"/>
        <bgColor rgb="FF1B365D"/>
      </patternFill>
    </fill>
    <fill>
      <patternFill patternType="solid">
        <fgColor rgb="FFF0F4F8"/>
        <bgColor rgb="FFF0F4F8"/>
      </patternFill>
    </fill>
    <fill>
      <patternFill patternType="solid">
        <fgColor rgb="FF2E6B9E"/>
        <bgColor rgb="FF2E6B9E"/>
      </patternFill>
    </fill>
    <fill>
      <patternFill patternType="solid">
        <fgColor rgb="FFD83B01"/>
        <bgColor rgb="FFD83B01"/>
      </patternFill>
    </fill>
    <fill>
      <patternFill patternType="solid">
        <fgColor rgb="FF5C2D91"/>
        <bgColor rgb="FF5C2D91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5" fillId="4" borderId="1" xfId="0" applyFont="1" applyFill="1" applyBorder="1" applyAlignment="1">
      <alignment horizontal="center"/>
    </xf>
    <xf numFmtId="0" fontId="6" fillId="0" borderId="1" xfId="0" applyFont="1" applyBorder="1"/>
    <xf numFmtId="0" fontId="7" fillId="0" borderId="1" xfId="0" applyFont="1" applyBorder="1" applyAlignment="1">
      <alignment horizontal="center"/>
    </xf>
    <xf numFmtId="0" fontId="2" fillId="0" borderId="1" xfId="0" applyFont="1" applyBorder="1"/>
    <xf numFmtId="0" fontId="7" fillId="0" borderId="1" xfId="0" applyFont="1" applyBorder="1"/>
    <xf numFmtId="0" fontId="5" fillId="4" borderId="0" xfId="0" applyFont="1" applyFill="1"/>
    <xf numFmtId="164" fontId="7" fillId="0" borderId="1" xfId="0" applyNumberFormat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/>
    <xf numFmtId="0" fontId="4" fillId="2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1" fillId="2" borderId="0" xfId="0" applyFont="1" applyFill="1"/>
    <xf numFmtId="0" fontId="0" fillId="0" borderId="0" xfId="0"/>
    <xf numFmtId="0" fontId="6" fillId="0" borderId="0" xfId="0" applyFont="1"/>
    <xf numFmtId="0" fontId="1" fillId="2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6" xfId="0" applyFont="1" applyBorder="1"/>
    <xf numFmtId="0" fontId="7" fillId="0" borderId="7" xfId="0" applyFont="1" applyBorder="1" applyAlignment="1">
      <alignment horizontal="center"/>
    </xf>
  </cellXfs>
  <cellStyles count="1"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scheme val="none"/>
      </font>
      <fill>
        <patternFill patternType="solid">
          <fgColor rgb="FF2E6B9E"/>
          <bgColor rgb="FF2E6B9E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/>
        <vertical/>
        <horizontal/>
      </border>
    </dxf>
    <dxf>
      <border outline="0">
        <top style="thin">
          <color rgb="FFD9D9D9"/>
        </top>
      </border>
    </dxf>
    <dxf>
      <border outline="0">
        <bottom style="thin">
          <color rgb="FFD9D9D9"/>
        </bottom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scheme val="none"/>
      </font>
      <fill>
        <patternFill patternType="solid">
          <fgColor rgb="FF2E6B9E"/>
          <bgColor rgb="FF2E6B9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border outline="0">
        <bottom style="thin">
          <color rgb="FFD9D9D9"/>
        </bottom>
      </border>
    </dxf>
    <dxf>
      <border outline="0">
        <top style="thin">
          <color rgb="FFD9D9D9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5</xdr:row>
      <xdr:rowOff>175260</xdr:rowOff>
    </xdr:from>
    <xdr:to>
      <xdr:col>3</xdr:col>
      <xdr:colOff>991870</xdr:colOff>
      <xdr:row>9</xdr:row>
      <xdr:rowOff>53340</xdr:rowOff>
    </xdr:to>
    <xdr:pic macro="[0]!AbrirFormularioRegistro">
      <xdr:nvPicPr>
        <xdr:cNvPr id="3" name="Imagen 2">
          <a:extLst>
            <a:ext uri="{FF2B5EF4-FFF2-40B4-BE49-F238E27FC236}">
              <a16:creationId xmlns:a16="http://schemas.microsoft.com/office/drawing/2014/main" id="{2DDA1B0E-4F3B-0B8E-FD95-5258410D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" y="1889760"/>
          <a:ext cx="3079750" cy="73914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5</xdr:row>
      <xdr:rowOff>177393</xdr:rowOff>
    </xdr:from>
    <xdr:to>
      <xdr:col>7</xdr:col>
      <xdr:colOff>243840</xdr:colOff>
      <xdr:row>9</xdr:row>
      <xdr:rowOff>53340</xdr:rowOff>
    </xdr:to>
    <xdr:pic macro="[0]!AbrirFormularioBuscar">
      <xdr:nvPicPr>
        <xdr:cNvPr id="5" name="Imagen 4">
          <a:extLst>
            <a:ext uri="{FF2B5EF4-FFF2-40B4-BE49-F238E27FC236}">
              <a16:creationId xmlns:a16="http://schemas.microsoft.com/office/drawing/2014/main" id="{A4B55D9D-E242-1500-5259-84D12D02B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4060" y="1891893"/>
          <a:ext cx="3070860" cy="737007"/>
        </a:xfrm>
        <a:prstGeom prst="rect">
          <a:avLst/>
        </a:prstGeom>
      </xdr:spPr>
    </xdr:pic>
    <xdr:clientData/>
  </xdr:twoCellAnchor>
  <xdr:twoCellAnchor editAs="oneCell">
    <xdr:from>
      <xdr:col>8</xdr:col>
      <xdr:colOff>579120</xdr:colOff>
      <xdr:row>0</xdr:row>
      <xdr:rowOff>53035</xdr:rowOff>
    </xdr:from>
    <xdr:to>
      <xdr:col>13</xdr:col>
      <xdr:colOff>358144</xdr:colOff>
      <xdr:row>2</xdr:row>
      <xdr:rowOff>15241</xdr:rowOff>
    </xdr:to>
    <xdr:pic macro="[0]!SincronizarConAPI">
      <xdr:nvPicPr>
        <xdr:cNvPr id="4" name="Imagen 3">
          <a:extLst>
            <a:ext uri="{FF2B5EF4-FFF2-40B4-BE49-F238E27FC236}">
              <a16:creationId xmlns:a16="http://schemas.microsoft.com/office/drawing/2014/main" id="{03305710-554F-64A3-ADBD-015E2DAB4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54640" y="53035"/>
          <a:ext cx="2827024" cy="67848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B506AD-CA28-4213-9095-B09753E43811}" name="TblBeneficiarios" displayName="TblBeneficiarios" ref="A3:AA4" totalsRowShown="0" headerRowDxfId="11" headerRowBorderDxfId="12" tableBorderDxfId="13">
  <autoFilter ref="A3:AA4" xr:uid="{CFB506AD-CA28-4213-9095-B09753E43811}"/>
  <tableColumns count="27">
    <tableColumn id="1" xr3:uid="{AC0D410D-1434-4048-AA73-F6FD4EC67287}" name="ID_Beneficiario"/>
    <tableColumn id="2" xr3:uid="{C50C1C41-D6D8-494A-B14A-BB055774522C}" name="DNI"/>
    <tableColumn id="3" xr3:uid="{1F20E340-6E64-498F-8D55-DEB05AA278C7}" name="Nombres"/>
    <tableColumn id="4" xr3:uid="{9F59E69D-F8F5-4DC6-9F5E-DF86727FEFD7}" name="Apellido_Paterno"/>
    <tableColumn id="5" xr3:uid="{17BBFCC4-3203-4F24-A855-109C6376621B}" name="Apellido_Materno"/>
    <tableColumn id="6" xr3:uid="{2100D43C-1543-45D7-827B-7C2F6DDD03D5}" name="Fecha_Nacimiento"/>
    <tableColumn id="8" xr3:uid="{811201AF-9A6F-4571-A47A-821744C66F4D}" name="Estado_Civil"/>
    <tableColumn id="9" xr3:uid="{3956C601-9984-41F9-90E8-837042AFD84C}" name="Celular"/>
    <tableColumn id="11" xr3:uid="{27253F35-AF51-4442-8940-755FCD3393EA}" name="Departamento"/>
    <tableColumn id="12" xr3:uid="{A308D260-7A17-48DA-A673-2921EA79635B}" name="Provincia"/>
    <tableColumn id="13" xr3:uid="{5C140B3E-7981-4722-9EE6-520EF467E6D6}" name="Distrito"/>
    <tableColumn id="15" xr3:uid="{D3166583-DE72-4798-B8F8-3B458169B10A}" name="Centro_Poblado"/>
    <tableColumn id="16" xr3:uid="{5918B78A-C324-407B-AC58-FA786F20B79A}" name="Barrio_Sector"/>
    <tableColumn id="17" xr3:uid="{489F51D2-DB09-4BE8-9B20-56178CF95B8C}" name="Calle"/>
    <tableColumn id="18" xr3:uid="{3A48FC02-0650-451F-A435-DA74B0AFEE64}" name="Manzana"/>
    <tableColumn id="19" xr3:uid="{C5484FDF-AA54-4FBE-AA6B-678224CCF55A}" name="Lote"/>
    <tableColumn id="31" xr3:uid="{CA957D5E-7D47-445E-AEDF-CE623BB67659}" name="Partida Registral"/>
    <tableColumn id="20" xr3:uid="{C62CB99B-9E9A-4909-91A2-ED5857C269A9}" name="Coordenada_X"/>
    <tableColumn id="21" xr3:uid="{86888888-FCAD-4038-A7B0-5E97DFBEDF2B}" name="Coordenada_Y"/>
    <tableColumn id="22" xr3:uid="{49979E1D-7D6B-45CD-B3BC-98EB843BC7CA}" name="Direccion"/>
    <tableColumn id="30" xr3:uid="{95049FB2-C2DF-4683-9049-F021014A2D00}" name="Area Total"/>
    <tableColumn id="29" xr3:uid="{9906163C-8F6C-441E-B340-7FED051D670C}" name="Por el Frente"/>
    <tableColumn id="28" xr3:uid="{12D690FA-BF71-4573-8D0D-3ED848B4E3E0}" name="Por la Derecha "/>
    <tableColumn id="27" xr3:uid="{BB926B5E-399E-4602-BD8B-17B63BB90105}" name="Por la Izquierda"/>
    <tableColumn id="26" xr3:uid="{3FF666B5-4F6E-4519-954E-E6F06F6A78F5}" name="Por el Fondo"/>
    <tableColumn id="23" xr3:uid="{C7C25A13-F1E2-4F6B-BEF1-D639C2ABA1F1}" name="Estado_Sincronizacion"/>
    <tableColumn id="24" xr3:uid="{777F1934-9D38-442C-8C45-0D94030E37B1}" name="Fecha_Sincronizac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E9A029-28DC-43A2-8E26-677D227CD368}" name="TblCargaFamiliar" displayName="TblCargaFamiliar" ref="A3:G4" totalsRowShown="0" headerRowDxfId="0" headerRowBorderDxfId="9" tableBorderDxfId="10" totalsRowBorderDxfId="8">
  <autoFilter ref="A3:G4" xr:uid="{44E9A029-28DC-43A2-8E26-677D227CD368}"/>
  <tableColumns count="7">
    <tableColumn id="1" xr3:uid="{51DD472E-5FB5-42BD-A101-3C7BE0D07375}" name="ID_Familiar" dataDxfId="7"/>
    <tableColumn id="2" xr3:uid="{3A0CC566-03F3-4B3F-AF96-3B05F8D88D05}" name="ID_Beneficiario" dataDxfId="6"/>
    <tableColumn id="3" xr3:uid="{2997AD8B-F185-4A7D-8175-581CC022CE9C}" name="Parentesco" dataDxfId="5"/>
    <tableColumn id="4" xr3:uid="{6E75A001-85B2-4DA8-9653-E2F8A109BB9F}" name="DNI" dataDxfId="4"/>
    <tableColumn id="5" xr3:uid="{FDF1DD34-9F51-4F8A-BD0C-D43AA619D3AE}" name="Nombres" dataDxfId="3"/>
    <tableColumn id="6" xr3:uid="{2DB950B5-94E6-476A-911D-A1A75B8AC8E7}" name="Apellidos" dataDxfId="2"/>
    <tableColumn id="7" xr3:uid="{09CB208C-6BC1-4DD8-94C4-CBA49D02AEAC}" name="Fecha_Nacimiento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19"/>
  <sheetViews>
    <sheetView showGridLines="0" showRowColHeaders="0" zoomScaleNormal="100" workbookViewId="0">
      <selection activeCell="H1" sqref="H1"/>
    </sheetView>
  </sheetViews>
  <sheetFormatPr baseColWidth="10" defaultColWidth="8.88671875" defaultRowHeight="14.4" x14ac:dyDescent="0.3"/>
  <cols>
    <col min="1" max="8" width="18" customWidth="1"/>
  </cols>
  <sheetData>
    <row r="1" spans="1:8" ht="42" customHeight="1" x14ac:dyDescent="0.3"/>
    <row r="3" spans="1:8" ht="37.200000000000003" customHeight="1" x14ac:dyDescent="0.3"/>
    <row r="4" spans="1:8" x14ac:dyDescent="0.3">
      <c r="A4" s="8" t="s">
        <v>0</v>
      </c>
      <c r="B4" s="9"/>
      <c r="C4" s="8" t="s">
        <v>1</v>
      </c>
      <c r="D4" s="9"/>
      <c r="E4" s="8" t="s">
        <v>2</v>
      </c>
      <c r="F4" s="9"/>
      <c r="G4" s="8" t="s">
        <v>3</v>
      </c>
      <c r="H4" s="9"/>
    </row>
    <row r="5" spans="1:8" ht="27" x14ac:dyDescent="0.3">
      <c r="A5" s="12">
        <f>COUNTA(BD_BENEFICIARIOS!A4:A500)</f>
        <v>1</v>
      </c>
      <c r="B5" s="9"/>
      <c r="C5" s="12">
        <f>COUNTA(BD_CARGA_FAMILIAR!A4:A500)</f>
        <v>1</v>
      </c>
      <c r="D5" s="9"/>
      <c r="E5" s="12">
        <f>COUNTIF(BD_UBICACIONES!E4:E500, "Activo")</f>
        <v>3</v>
      </c>
      <c r="F5" s="9"/>
      <c r="G5" s="12">
        <f>COUNTIF(BD_BENEFICIARIOS!Z4:Z500, "PENDIENTE")</f>
        <v>0</v>
      </c>
      <c r="H5" s="9"/>
    </row>
    <row r="7" spans="1:8" ht="25.05" customHeight="1" x14ac:dyDescent="0.3"/>
    <row r="13" spans="1:8" x14ac:dyDescent="0.3">
      <c r="A13" s="13" t="s">
        <v>4</v>
      </c>
      <c r="B13" s="9"/>
      <c r="C13" s="9"/>
      <c r="D13" s="9"/>
      <c r="E13" s="14" t="s">
        <v>5</v>
      </c>
      <c r="F13" s="9"/>
      <c r="G13" s="9"/>
      <c r="H13" s="9"/>
    </row>
    <row r="14" spans="1:8" x14ac:dyDescent="0.3">
      <c r="A14" s="9"/>
      <c r="B14" s="9"/>
      <c r="C14" s="9"/>
      <c r="D14" s="9"/>
      <c r="E14" s="9"/>
      <c r="F14" s="9"/>
      <c r="G14" s="9"/>
      <c r="H14" s="9"/>
    </row>
    <row r="15" spans="1:8" x14ac:dyDescent="0.3">
      <c r="A15" s="9"/>
      <c r="B15" s="9"/>
      <c r="C15" s="9"/>
      <c r="D15" s="9"/>
      <c r="E15" s="9"/>
      <c r="F15" s="9"/>
      <c r="G15" s="9"/>
      <c r="H15" s="9"/>
    </row>
    <row r="17" spans="1:8" x14ac:dyDescent="0.3">
      <c r="A17" s="10" t="s">
        <v>6</v>
      </c>
      <c r="B17" s="9"/>
      <c r="C17" s="9"/>
      <c r="D17" s="9"/>
      <c r="E17" s="11" t="s">
        <v>7</v>
      </c>
      <c r="F17" s="9"/>
      <c r="G17" s="9"/>
      <c r="H17" s="9"/>
    </row>
    <row r="18" spans="1:8" x14ac:dyDescent="0.3">
      <c r="A18" s="9"/>
      <c r="B18" s="9"/>
      <c r="C18" s="9"/>
      <c r="D18" s="9"/>
      <c r="E18" s="9"/>
      <c r="F18" s="9"/>
      <c r="G18" s="9"/>
      <c r="H18" s="9"/>
    </row>
    <row r="19" spans="1:8" x14ac:dyDescent="0.3">
      <c r="A19" s="9"/>
      <c r="B19" s="9"/>
      <c r="C19" s="9"/>
      <c r="D19" s="9"/>
      <c r="E19" s="9"/>
      <c r="F19" s="9"/>
      <c r="G19" s="9"/>
      <c r="H19" s="9"/>
    </row>
  </sheetData>
  <mergeCells count="12">
    <mergeCell ref="C4:D4"/>
    <mergeCell ref="A17:D19"/>
    <mergeCell ref="E17:H19"/>
    <mergeCell ref="C5:D5"/>
    <mergeCell ref="A5:B5"/>
    <mergeCell ref="G5:H5"/>
    <mergeCell ref="E5:F5"/>
    <mergeCell ref="A4:B4"/>
    <mergeCell ref="G4:H4"/>
    <mergeCell ref="E4:F4"/>
    <mergeCell ref="A13:D15"/>
    <mergeCell ref="E13:H15"/>
  </mergeCells>
  <pageMargins left="0.75" right="0.75" top="1" bottom="1" header="0.5" footer="0.5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8"/>
  <sheetViews>
    <sheetView workbookViewId="0">
      <selection sqref="A1:E1"/>
    </sheetView>
  </sheetViews>
  <sheetFormatPr baseColWidth="10" defaultColWidth="8.88671875" defaultRowHeight="14.4" x14ac:dyDescent="0.3"/>
  <cols>
    <col min="1" max="2" width="26" customWidth="1"/>
    <col min="3" max="3" width="51" customWidth="1"/>
    <col min="4" max="5" width="14" customWidth="1"/>
  </cols>
  <sheetData>
    <row r="1" spans="1:5" ht="23.4" x14ac:dyDescent="0.55000000000000004">
      <c r="A1" s="15" t="s">
        <v>8</v>
      </c>
      <c r="B1" s="16"/>
      <c r="C1" s="16"/>
      <c r="D1" s="16"/>
      <c r="E1" s="16"/>
    </row>
    <row r="3" spans="1:5" ht="15" x14ac:dyDescent="0.35">
      <c r="A3" s="1" t="s">
        <v>9</v>
      </c>
      <c r="B3" s="1" t="s">
        <v>10</v>
      </c>
      <c r="C3" s="1" t="s">
        <v>11</v>
      </c>
    </row>
    <row r="4" spans="1:5" ht="15" x14ac:dyDescent="0.35">
      <c r="A4" s="2" t="s">
        <v>12</v>
      </c>
      <c r="B4" s="3">
        <v>4</v>
      </c>
      <c r="C4" s="4" t="s">
        <v>13</v>
      </c>
    </row>
    <row r="5" spans="1:5" ht="15" x14ac:dyDescent="0.35">
      <c r="A5" s="2" t="s">
        <v>14</v>
      </c>
      <c r="B5" s="3">
        <v>5</v>
      </c>
      <c r="C5" s="4" t="s">
        <v>15</v>
      </c>
    </row>
    <row r="6" spans="1:5" ht="15" x14ac:dyDescent="0.35">
      <c r="A6" s="2" t="s">
        <v>16</v>
      </c>
      <c r="B6" s="3">
        <v>3</v>
      </c>
      <c r="C6" s="4" t="s">
        <v>17</v>
      </c>
    </row>
    <row r="7" spans="1:5" ht="15" x14ac:dyDescent="0.35">
      <c r="A7" s="2" t="s">
        <v>18</v>
      </c>
      <c r="B7" s="3" t="s">
        <v>19</v>
      </c>
      <c r="C7" s="4" t="s">
        <v>20</v>
      </c>
    </row>
    <row r="8" spans="1:5" ht="15" x14ac:dyDescent="0.35">
      <c r="A8" s="2" t="s">
        <v>21</v>
      </c>
      <c r="B8" s="3" t="s">
        <v>22</v>
      </c>
      <c r="C8" s="4" t="s">
        <v>23</v>
      </c>
    </row>
  </sheetData>
  <mergeCells count="1">
    <mergeCell ref="A1:E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6"/>
  <sheetViews>
    <sheetView workbookViewId="0">
      <selection activeCell="E29" sqref="E29"/>
    </sheetView>
  </sheetViews>
  <sheetFormatPr baseColWidth="10" defaultColWidth="8.88671875" defaultRowHeight="14.4" x14ac:dyDescent="0.3"/>
  <cols>
    <col min="1" max="1" width="16" customWidth="1"/>
    <col min="2" max="2" width="14" customWidth="1"/>
    <col min="3" max="3" width="16" customWidth="1"/>
    <col min="4" max="5" width="14" customWidth="1"/>
    <col min="6" max="6" width="18" customWidth="1"/>
  </cols>
  <sheetData>
    <row r="1" spans="1:6" ht="23.4" x14ac:dyDescent="0.55000000000000004">
      <c r="A1" s="15" t="s">
        <v>24</v>
      </c>
      <c r="B1" s="16"/>
      <c r="C1" s="16"/>
      <c r="D1" s="16"/>
      <c r="E1" s="16"/>
      <c r="F1" s="16"/>
    </row>
    <row r="3" spans="1:6" ht="15" x14ac:dyDescent="0.35">
      <c r="A3" s="1" t="s">
        <v>25</v>
      </c>
      <c r="B3" s="1" t="s">
        <v>26</v>
      </c>
      <c r="C3" s="1" t="s">
        <v>27</v>
      </c>
      <c r="D3" s="1" t="s">
        <v>28</v>
      </c>
      <c r="E3" s="1" t="s">
        <v>29</v>
      </c>
      <c r="F3" s="1" t="s">
        <v>30</v>
      </c>
    </row>
    <row r="4" spans="1:6" ht="15" x14ac:dyDescent="0.35">
      <c r="A4" s="3" t="s">
        <v>31</v>
      </c>
      <c r="B4" s="5" t="s">
        <v>32</v>
      </c>
      <c r="C4" s="5" t="s">
        <v>33</v>
      </c>
      <c r="D4" s="5" t="s">
        <v>34</v>
      </c>
      <c r="E4" s="3" t="s">
        <v>35</v>
      </c>
      <c r="F4" s="3" t="s">
        <v>36</v>
      </c>
    </row>
    <row r="5" spans="1:6" ht="15" x14ac:dyDescent="0.35">
      <c r="A5" s="3" t="s">
        <v>37</v>
      </c>
      <c r="B5" s="5" t="s">
        <v>38</v>
      </c>
      <c r="C5" s="5" t="s">
        <v>33</v>
      </c>
      <c r="D5" s="5" t="s">
        <v>34</v>
      </c>
      <c r="E5" s="3" t="s">
        <v>35</v>
      </c>
      <c r="F5" s="3" t="s">
        <v>36</v>
      </c>
    </row>
    <row r="6" spans="1:6" ht="15" x14ac:dyDescent="0.35">
      <c r="A6" s="3" t="s">
        <v>39</v>
      </c>
      <c r="B6" s="5" t="s">
        <v>40</v>
      </c>
      <c r="C6" s="5" t="s">
        <v>33</v>
      </c>
      <c r="D6" s="5" t="s">
        <v>34</v>
      </c>
      <c r="E6" s="3" t="s">
        <v>35</v>
      </c>
      <c r="F6" s="3" t="s">
        <v>36</v>
      </c>
    </row>
  </sheetData>
  <mergeCells count="1">
    <mergeCell ref="A1:F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A4"/>
  <sheetViews>
    <sheetView tabSelected="1" topLeftCell="S1" workbookViewId="0">
      <selection activeCell="Q7" sqref="Q7"/>
    </sheetView>
  </sheetViews>
  <sheetFormatPr baseColWidth="10" defaultColWidth="8.88671875" defaultRowHeight="14.4" x14ac:dyDescent="0.3"/>
  <cols>
    <col min="1" max="1" width="19" customWidth="1"/>
    <col min="2" max="2" width="14" customWidth="1"/>
    <col min="3" max="3" width="18" customWidth="1"/>
    <col min="4" max="6" width="20" customWidth="1"/>
    <col min="7" max="7" width="16" customWidth="1"/>
    <col min="8" max="8" width="14" customWidth="1"/>
    <col min="9" max="9" width="16" customWidth="1"/>
    <col min="10" max="11" width="14" customWidth="1"/>
    <col min="12" max="12" width="18" customWidth="1"/>
    <col min="13" max="13" width="20" customWidth="1"/>
    <col min="14" max="14" width="19" customWidth="1"/>
    <col min="15" max="16" width="14" customWidth="1"/>
    <col min="17" max="19" width="16" customWidth="1"/>
    <col min="20" max="20" width="30.77734375" customWidth="1"/>
    <col min="21" max="25" width="29" customWidth="1"/>
    <col min="26" max="26" width="25" customWidth="1"/>
    <col min="27" max="27" width="24" customWidth="1"/>
  </cols>
  <sheetData>
    <row r="1" spans="1:27" ht="23.4" x14ac:dyDescent="0.55000000000000004">
      <c r="A1" s="15" t="s">
        <v>41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</row>
    <row r="3" spans="1:27" ht="15" x14ac:dyDescent="0.3">
      <c r="A3" s="19" t="s">
        <v>42</v>
      </c>
      <c r="B3" s="19" t="s">
        <v>43</v>
      </c>
      <c r="C3" s="19" t="s">
        <v>44</v>
      </c>
      <c r="D3" s="19" t="s">
        <v>45</v>
      </c>
      <c r="E3" s="19" t="s">
        <v>46</v>
      </c>
      <c r="F3" s="19" t="s">
        <v>47</v>
      </c>
      <c r="G3" s="19" t="s">
        <v>48</v>
      </c>
      <c r="H3" s="19" t="s">
        <v>49</v>
      </c>
      <c r="I3" s="19" t="s">
        <v>27</v>
      </c>
      <c r="J3" s="19" t="s">
        <v>28</v>
      </c>
      <c r="K3" s="19" t="s">
        <v>50</v>
      </c>
      <c r="L3" s="19" t="s">
        <v>51</v>
      </c>
      <c r="M3" s="19" t="s">
        <v>52</v>
      </c>
      <c r="N3" s="19" t="s">
        <v>53</v>
      </c>
      <c r="O3" s="19" t="s">
        <v>54</v>
      </c>
      <c r="P3" s="19" t="s">
        <v>55</v>
      </c>
      <c r="Q3" s="19" t="s">
        <v>92</v>
      </c>
      <c r="R3" s="19" t="s">
        <v>56</v>
      </c>
      <c r="S3" s="19" t="s">
        <v>57</v>
      </c>
      <c r="T3" s="19" t="s">
        <v>58</v>
      </c>
      <c r="U3" s="19" t="s">
        <v>87</v>
      </c>
      <c r="V3" s="19" t="s">
        <v>88</v>
      </c>
      <c r="W3" s="19" t="s">
        <v>89</v>
      </c>
      <c r="X3" s="19" t="s">
        <v>90</v>
      </c>
      <c r="Y3" s="19" t="s">
        <v>91</v>
      </c>
      <c r="Z3" s="19" t="s">
        <v>59</v>
      </c>
      <c r="AA3" s="19" t="s">
        <v>60</v>
      </c>
    </row>
    <row r="4" spans="1:27" x14ac:dyDescent="0.3">
      <c r="A4" t="s">
        <v>61</v>
      </c>
      <c r="B4">
        <v>12345678</v>
      </c>
      <c r="C4" t="s">
        <v>78</v>
      </c>
      <c r="D4" t="s">
        <v>79</v>
      </c>
      <c r="E4" t="s">
        <v>80</v>
      </c>
      <c r="F4" t="s">
        <v>81</v>
      </c>
      <c r="G4" t="s">
        <v>82</v>
      </c>
      <c r="H4">
        <v>987456321</v>
      </c>
      <c r="I4" t="s">
        <v>33</v>
      </c>
      <c r="J4" t="s">
        <v>34</v>
      </c>
      <c r="K4" t="s">
        <v>62</v>
      </c>
      <c r="M4" t="s">
        <v>83</v>
      </c>
      <c r="N4" t="s">
        <v>84</v>
      </c>
      <c r="O4">
        <v>18</v>
      </c>
      <c r="P4">
        <v>4</v>
      </c>
      <c r="R4">
        <v>-18.125699999999998</v>
      </c>
      <c r="S4">
        <v>-79.265945599999995</v>
      </c>
      <c r="T4" t="s">
        <v>85</v>
      </c>
      <c r="U4">
        <v>250</v>
      </c>
      <c r="V4">
        <v>18</v>
      </c>
      <c r="W4">
        <v>18</v>
      </c>
      <c r="X4">
        <v>18</v>
      </c>
      <c r="Y4">
        <v>18</v>
      </c>
      <c r="Z4" t="s">
        <v>86</v>
      </c>
    </row>
  </sheetData>
  <mergeCells count="1">
    <mergeCell ref="A1:AA1"/>
  </mergeCell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G4"/>
  <sheetViews>
    <sheetView workbookViewId="0">
      <selection activeCell="G21" sqref="G21"/>
    </sheetView>
  </sheetViews>
  <sheetFormatPr baseColWidth="10" defaultColWidth="8.88671875" defaultRowHeight="14.4" x14ac:dyDescent="0.3"/>
  <cols>
    <col min="1" max="1" width="17" customWidth="1"/>
    <col min="2" max="2" width="19" customWidth="1"/>
    <col min="3" max="3" width="25" customWidth="1"/>
    <col min="4" max="5" width="14" customWidth="1"/>
    <col min="6" max="6" width="19" customWidth="1"/>
    <col min="7" max="7" width="20" customWidth="1"/>
  </cols>
  <sheetData>
    <row r="1" spans="1:7" ht="23.4" x14ac:dyDescent="0.55000000000000004">
      <c r="A1" s="15" t="s">
        <v>63</v>
      </c>
      <c r="B1" s="16"/>
      <c r="C1" s="16"/>
      <c r="D1" s="16"/>
      <c r="E1" s="16"/>
      <c r="F1" s="16"/>
      <c r="G1" s="16"/>
    </row>
    <row r="3" spans="1:7" ht="15" x14ac:dyDescent="0.35">
      <c r="A3" s="20" t="s">
        <v>64</v>
      </c>
      <c r="B3" s="21" t="s">
        <v>42</v>
      </c>
      <c r="C3" s="21" t="s">
        <v>65</v>
      </c>
      <c r="D3" s="21" t="s">
        <v>43</v>
      </c>
      <c r="E3" s="21" t="s">
        <v>44</v>
      </c>
      <c r="F3" s="21" t="s">
        <v>66</v>
      </c>
      <c r="G3" s="22" t="s">
        <v>47</v>
      </c>
    </row>
    <row r="4" spans="1:7" ht="15" x14ac:dyDescent="0.35">
      <c r="A4" s="23" t="s">
        <v>67</v>
      </c>
      <c r="B4" s="24" t="s">
        <v>61</v>
      </c>
      <c r="C4" s="24" t="s">
        <v>68</v>
      </c>
      <c r="D4" s="24" t="s">
        <v>69</v>
      </c>
      <c r="E4" s="25" t="s">
        <v>70</v>
      </c>
      <c r="F4" s="25" t="s">
        <v>71</v>
      </c>
      <c r="G4" s="26" t="s">
        <v>72</v>
      </c>
    </row>
  </sheetData>
  <mergeCells count="1">
    <mergeCell ref="A1:G1"/>
  </mergeCell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G7"/>
  <sheetViews>
    <sheetView workbookViewId="0">
      <selection activeCell="C8" sqref="C8"/>
    </sheetView>
  </sheetViews>
  <sheetFormatPr baseColWidth="10" defaultColWidth="8.88671875" defaultRowHeight="14.4" x14ac:dyDescent="0.3"/>
  <cols>
    <col min="1" max="1" width="14" customWidth="1"/>
    <col min="2" max="2" width="46" customWidth="1"/>
    <col min="3" max="3" width="20" customWidth="1"/>
    <col min="4" max="7" width="14" customWidth="1"/>
  </cols>
  <sheetData>
    <row r="1" spans="1:7" ht="40.049999999999997" customHeight="1" x14ac:dyDescent="0.3">
      <c r="A1" s="18" t="s">
        <v>73</v>
      </c>
      <c r="B1" s="16"/>
      <c r="C1" s="16"/>
      <c r="D1" s="16"/>
      <c r="E1" s="16"/>
      <c r="F1" s="16"/>
      <c r="G1" s="16"/>
    </row>
    <row r="3" spans="1:7" ht="15" x14ac:dyDescent="0.35">
      <c r="A3" s="17" t="s">
        <v>74</v>
      </c>
      <c r="B3" s="16"/>
      <c r="C3" s="16"/>
    </row>
    <row r="4" spans="1:7" ht="15" x14ac:dyDescent="0.35">
      <c r="A4" s="6" t="s">
        <v>75</v>
      </c>
      <c r="B4" s="6" t="s">
        <v>76</v>
      </c>
      <c r="C4" s="6" t="s">
        <v>77</v>
      </c>
    </row>
    <row r="5" spans="1:7" ht="15" x14ac:dyDescent="0.35">
      <c r="A5" s="5" t="s">
        <v>32</v>
      </c>
      <c r="B5" s="3" t="e">
        <f>_xlfn.SINGLE(COUNTIF(BD_BENEFICIARIOS!#REF!, A5))</f>
        <v>#REF!</v>
      </c>
      <c r="C5" s="7" t="e">
        <f>B5/SUM(B$5:B$7)</f>
        <v>#REF!</v>
      </c>
    </row>
    <row r="6" spans="1:7" ht="15" x14ac:dyDescent="0.35">
      <c r="A6" s="5" t="s">
        <v>38</v>
      </c>
      <c r="B6" s="3" t="e">
        <f>_xlfn.SINGLE(COUNTIF(BD_BENEFICIARIOS!#REF!, A6))</f>
        <v>#REF!</v>
      </c>
      <c r="C6" s="7" t="e">
        <f>B6/SUM(B$5:B$7)</f>
        <v>#REF!</v>
      </c>
    </row>
    <row r="7" spans="1:7" ht="15" x14ac:dyDescent="0.35">
      <c r="A7" s="5" t="s">
        <v>40</v>
      </c>
      <c r="B7" s="3" t="e">
        <f>COUNTIF(BD_BENEFICIARIOS!#REF!, A7)</f>
        <v>#REF!</v>
      </c>
      <c r="C7" s="7" t="e">
        <f>B7/SUM(B$5:B$7)</f>
        <v>#REF!</v>
      </c>
    </row>
  </sheetData>
  <mergeCells count="2">
    <mergeCell ref="A3:C3"/>
    <mergeCell ref="A1:G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PANEL_CONTROL</vt:lpstr>
      <vt:lpstr>CONFIGURACION</vt:lpstr>
      <vt:lpstr>BD_UBICACIONES</vt:lpstr>
      <vt:lpstr>BD_BENEFICIARIOS</vt:lpstr>
      <vt:lpstr>BD_CARGA_FAMILIAR</vt:lpstr>
      <vt:lpstr>REPORTES_DASHBOARD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ishoar maza</cp:lastModifiedBy>
  <dcterms:created xsi:type="dcterms:W3CDTF">2026-08-26T03:47:28Z</dcterms:created>
  <dcterms:modified xsi:type="dcterms:W3CDTF">2026-08-26T16:44:28Z</dcterms:modified>
</cp:coreProperties>
</file>